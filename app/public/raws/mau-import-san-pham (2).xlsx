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AMZTECH\01. File quan ly AMZTECH\04. Chuc nang\01. Web\"/>
    </mc:Choice>
  </mc:AlternateContent>
  <xr:revisionPtr revIDLastSave="0" documentId="13_ncr:1_{145AA377-77B3-4BCB-9450-0C4A3E38CD65}" xr6:coauthVersionLast="47" xr6:coauthVersionMax="47" xr10:uidLastSave="{00000000-0000-0000-0000-000000000000}"/>
  <bookViews>
    <workbookView xWindow="7215" yWindow="-15960" windowWidth="14370" windowHeight="15105" activeTab="1" xr2:uid="{00000000-000D-0000-FFFF-FFFF00000000}"/>
  </bookViews>
  <sheets>
    <sheet name="Data" sheetId="5" r:id="rId1"/>
    <sheet name="SanPham" sheetId="1" r:id="rId2"/>
    <sheet name="BienThe" sheetId="2" r:id="rId3"/>
    <sheet name="HuongDan" sheetId="3" r:id="rId4"/>
    <sheet name="Danh muc" sheetId="4" r:id="rId5"/>
  </sheets>
  <calcPr calcId="191029"/>
</workbook>
</file>

<file path=xl/calcChain.xml><?xml version="1.0" encoding="utf-8"?>
<calcChain xmlns="http://schemas.openxmlformats.org/spreadsheetml/2006/main">
  <c r="C2" i="2" l="1"/>
  <c r="C4" i="2"/>
  <c r="C5" i="2"/>
  <c r="C3" i="2"/>
  <c r="A3" i="2"/>
  <c r="A4" i="2"/>
  <c r="A5" i="2"/>
  <c r="A2" i="2"/>
</calcChain>
</file>

<file path=xl/sharedStrings.xml><?xml version="1.0" encoding="utf-8"?>
<sst xmlns="http://schemas.openxmlformats.org/spreadsheetml/2006/main" count="65" uniqueCount="53">
  <si>
    <t>ma_san_pham</t>
  </si>
  <si>
    <t>thuong_hieu</t>
  </si>
  <si>
    <t>ten_san_pham</t>
  </si>
  <si>
    <t>tinh_trang</t>
  </si>
  <si>
    <t>gia_goc</t>
  </si>
  <si>
    <t>gia_ban</t>
  </si>
  <si>
    <t>giam_pt</t>
  </si>
  <si>
    <t>ban_chay</t>
  </si>
  <si>
    <t>mo_ta</t>
  </si>
  <si>
    <t>thong_so</t>
  </si>
  <si>
    <t>video_url</t>
  </si>
  <si>
    <t>post_id</t>
  </si>
  <si>
    <t>Đen</t>
  </si>
  <si>
    <t/>
  </si>
  <si>
    <t>ten_bien_the</t>
  </si>
  <si>
    <t>mau</t>
  </si>
  <si>
    <t>ton_kho</t>
  </si>
  <si>
    <t>New Seal</t>
  </si>
  <si>
    <t>IMPORT SẢN PHẨM (không ảnh)</t>
  </si>
  <si>
    <t>1) Sheet SanPham: mỗi dòng một sản phẩm. Cột ma_san_pham là mã nội bộ để khớp với BienThe (không trùng trong file).</t>
  </si>
  <si>
    <t>2) danh_muc: gõ đúng tên danh mục (vd "Tai nghe nhét tai cũ") hoặc mã file JSON (vd 01-nhet-tai-cu).</t>
  </si>
  <si>
    <t>3) thong_so: định dạng key::giá trị;;key2::giá trị2 (tránh dùng :: trong nội dung giá trị).</t>
  </si>
  <si>
    <t>4) ban_chay: 1 / 0 / có / không.</t>
  </si>
  <si>
    <t>5) Sheet BienThe: mỗi dòng một biến thể; ma_san_pham trùng với sản phẩm cha. Có thể để trống sheet nếu không có biến thể.</t>
  </si>
  <si>
    <t>6) Ảnh: bỏ qua ở bước này; sau này cập nhật ảnh trong Admin.</t>
  </si>
  <si>
    <t>Danh mục hợp lệ (tên đầy đủ):</t>
  </si>
  <si>
    <t xml:space="preserve">  - Tai nghe nhét tai cũ</t>
  </si>
  <si>
    <t xml:space="preserve">  - Tai nghe chụp tai cũ</t>
  </si>
  <si>
    <t xml:space="preserve">  - Loa di động cũ</t>
  </si>
  <si>
    <t xml:space="preserve">  - Loa để bàn cũ</t>
  </si>
  <si>
    <t xml:space="preserve">  - Loa karaoke cũ</t>
  </si>
  <si>
    <t xml:space="preserve">  - Hàng newseal</t>
  </si>
  <si>
    <t>QC Ultra Earbuds</t>
  </si>
  <si>
    <t>Loại::In-ear (True Wireless);;Kết nối::Bluetooth 5.3;;Kích thước::1.72 x 3.05 x 2.24 cm (Tai nghe), 5.94 x 6.63 x 2.67 cm (Hộp sạc);;Trọng lượng::6.24g (Tai nghe), 59.8g (Hộp sạc);;Công nghệ âm thanh::Chống ồn chủ động (ANC), Bose Immersive Audio (Âm thanh không gian), CustomTune, Xuyên âm (Aware Mode);;Micro::4 micro mỗi tai nghe (Tổng 8 micro);;Thời lượng sử dụng Pin::Lên đến 6 giờ (Tai nghe), Tổng 24 giờ (Kèm hộp sạc)</t>
  </si>
  <si>
    <t>Mã SKU</t>
  </si>
  <si>
    <t>Mã SP</t>
  </si>
  <si>
    <t>A06030298</t>
  </si>
  <si>
    <t>Loai_SP</t>
  </si>
  <si>
    <t>Bose</t>
  </si>
  <si>
    <t>Tai nghe True Wireless</t>
  </si>
  <si>
    <t>x</t>
  </si>
  <si>
    <t>A060301010298</t>
  </si>
  <si>
    <t>A060301040298</t>
  </si>
  <si>
    <t>A060302040298</t>
  </si>
  <si>
    <t>A060327060298</t>
  </si>
  <si>
    <t>99-98% Nobox</t>
  </si>
  <si>
    <t>danh_muc_SP</t>
  </si>
  <si>
    <t>Danh mục sản phẩm</t>
  </si>
  <si>
    <t>Tai nghe nhét tai</t>
  </si>
  <si>
    <t>Tai nghe chụp tai</t>
  </si>
  <si>
    <t>Loa di động</t>
  </si>
  <si>
    <t>Loa để bàn</t>
  </si>
  <si>
    <t>Loa karaoke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</si>
</sst>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7094-4CAE-4938-A623-B1EA45EDE6C7}">
  <dimension ref="A1:A6"/>
  <sheetViews>
    <sheetView workbookViewId="0">
      <selection activeCell="I18" sqref="I18"/>
    </sheetView>
  </sheetViews>
  <sheetFormatPr defaultRowHeight="15.6" x14ac:dyDescent="0.3"/>
  <cols>
    <col min="1" max="1" width="18.19921875" bestFit="1" customWidth="1"/>
  </cols>
  <sheetData>
    <row r="1" spans="1:1" x14ac:dyDescent="0.3">
      <c r="A1" s="3" t="s">
        <v>47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50</v>
      </c>
    </row>
    <row r="5" spans="1:1" x14ac:dyDescent="0.3">
      <c r="A5" t="s">
        <v>51</v>
      </c>
    </row>
    <row r="6" spans="1:1" x14ac:dyDescent="0.3">
      <c r="A6" t="s">
        <v>52</v>
      </c>
    </row>
  </sheetData>
  <pageMargins left="0.7" right="0.7" top="0.75" bottom="0.75" header="0.3" footer="0.3"/>
  <pageSetup paperSize="187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2" sqref="E2"/>
    </sheetView>
  </sheetViews>
  <sheetFormatPr defaultRowHeight="15.6" x14ac:dyDescent="0.3"/>
  <cols>
    <col min="1" max="2" width="14.796875" customWidth="1"/>
    <col min="3" max="3" width="20.09765625" bestFit="1" customWidth="1"/>
    <col min="4" max="5" width="16.09765625" customWidth="1"/>
    <col min="6" max="13" width="14.796875" customWidth="1"/>
  </cols>
  <sheetData>
    <row r="1" spans="1:13" x14ac:dyDescent="0.3">
      <c r="A1" t="s">
        <v>0</v>
      </c>
      <c r="B1" t="s">
        <v>1</v>
      </c>
      <c r="C1" t="s">
        <v>37</v>
      </c>
      <c r="D1" t="s">
        <v>2</v>
      </c>
      <c r="E1" t="s">
        <v>46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36</v>
      </c>
      <c r="B2" t="s">
        <v>38</v>
      </c>
      <c r="C2" t="s">
        <v>39</v>
      </c>
      <c r="D2" t="s">
        <v>32</v>
      </c>
      <c r="E2" t="s">
        <v>48</v>
      </c>
      <c r="F2">
        <v>5600000</v>
      </c>
      <c r="G2">
        <v>4650000</v>
      </c>
      <c r="I2" t="s">
        <v>40</v>
      </c>
      <c r="K2" t="s">
        <v>33</v>
      </c>
      <c r="L2" t="s">
        <v>13</v>
      </c>
      <c r="M2" t="s">
        <v>13</v>
      </c>
    </row>
  </sheetData>
  <pageMargins left="0.7" right="0.7" top="0.75" bottom="0.75" header="0.3" footer="0.3"/>
  <pageSetup paperSize="187" orientation="portrait" horizontalDpi="203" verticalDpi="203" r:id="rId1"/>
  <ignoredErrors>
    <ignoredError sqref="A1 L2:M2 F1:M1 D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1656CC-7555-4ABB-870F-710CF490E9C0}">
          <x14:formula1>
            <xm:f>Data!$A$2:$A$6</xm:f>
          </x14:formula1>
          <xm:sqref>E2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I7" sqref="I7"/>
    </sheetView>
  </sheetViews>
  <sheetFormatPr defaultRowHeight="15.6" x14ac:dyDescent="0.3"/>
  <cols>
    <col min="1" max="1" width="14" customWidth="1"/>
    <col min="2" max="2" width="14.19921875" customWidth="1"/>
    <col min="3" max="3" width="18.19921875" customWidth="1"/>
    <col min="4" max="9" width="12.796875" customWidth="1"/>
  </cols>
  <sheetData>
    <row r="1" spans="1:9" x14ac:dyDescent="0.3">
      <c r="A1" t="s">
        <v>35</v>
      </c>
      <c r="B1" t="s">
        <v>34</v>
      </c>
      <c r="C1" t="s">
        <v>14</v>
      </c>
      <c r="D1" t="s">
        <v>15</v>
      </c>
      <c r="E1" t="s">
        <v>3</v>
      </c>
      <c r="F1" t="s">
        <v>4</v>
      </c>
      <c r="G1" t="s">
        <v>5</v>
      </c>
      <c r="H1" t="s">
        <v>6</v>
      </c>
      <c r="I1" t="s">
        <v>16</v>
      </c>
    </row>
    <row r="2" spans="1:9" x14ac:dyDescent="0.3">
      <c r="A2" s="1" t="str">
        <f>LEFT(B2,5)&amp;RIGHT(B2,4)</f>
        <v>A06030298</v>
      </c>
      <c r="B2" t="s">
        <v>41</v>
      </c>
      <c r="C2" s="1" t="str">
        <f>D2&amp;" - "&amp;E2</f>
        <v>Đen - New Seal</v>
      </c>
      <c r="D2" t="s">
        <v>12</v>
      </c>
      <c r="E2" t="s">
        <v>17</v>
      </c>
      <c r="F2" s="2">
        <v>5600000</v>
      </c>
      <c r="G2" s="2">
        <v>4650000</v>
      </c>
      <c r="I2">
        <v>3</v>
      </c>
    </row>
    <row r="3" spans="1:9" x14ac:dyDescent="0.3">
      <c r="A3" s="1" t="str">
        <f t="shared" ref="A3:A5" si="0">LEFT(B3,5)&amp;RIGHT(B3,4)</f>
        <v>A06030298</v>
      </c>
      <c r="B3" t="s">
        <v>42</v>
      </c>
      <c r="C3" s="1" t="str">
        <f>D3&amp;" - "&amp;E3</f>
        <v>Đen - 99-98% Nobox</v>
      </c>
      <c r="D3" t="s">
        <v>12</v>
      </c>
      <c r="E3" t="s">
        <v>45</v>
      </c>
      <c r="F3" s="2">
        <v>5750000</v>
      </c>
      <c r="G3" s="2">
        <v>4150000</v>
      </c>
      <c r="I3">
        <v>2</v>
      </c>
    </row>
    <row r="4" spans="1:9" x14ac:dyDescent="0.3">
      <c r="A4" s="1" t="str">
        <f t="shared" si="0"/>
        <v>A06030298</v>
      </c>
      <c r="B4" t="s">
        <v>43</v>
      </c>
      <c r="C4" s="1" t="str">
        <f t="shared" ref="C4:C5" si="1">D4&amp;" - "&amp;E4</f>
        <v>Đen - 99-98% Nobox</v>
      </c>
      <c r="D4" t="s">
        <v>12</v>
      </c>
      <c r="E4" t="s">
        <v>45</v>
      </c>
      <c r="F4" s="2">
        <v>5750000</v>
      </c>
      <c r="G4" s="2">
        <v>4150000</v>
      </c>
      <c r="I4">
        <v>5</v>
      </c>
    </row>
    <row r="5" spans="1:9" x14ac:dyDescent="0.3">
      <c r="A5" s="1" t="str">
        <f t="shared" si="0"/>
        <v>A06030298</v>
      </c>
      <c r="B5" t="s">
        <v>44</v>
      </c>
      <c r="C5" s="1" t="str">
        <f t="shared" si="1"/>
        <v>Đen - 99-98% Nobox</v>
      </c>
      <c r="D5" t="s">
        <v>12</v>
      </c>
      <c r="E5" t="s">
        <v>45</v>
      </c>
      <c r="F5" s="2">
        <v>5750000</v>
      </c>
      <c r="G5" s="2">
        <v>3900000</v>
      </c>
      <c r="I5">
        <v>6</v>
      </c>
    </row>
    <row r="6" spans="1:9" x14ac:dyDescent="0.3">
      <c r="F6" s="2"/>
    </row>
  </sheetData>
  <pageMargins left="0.7" right="0.7" top="0.75" bottom="0.75" header="0.3" footer="0.3"/>
  <pageSetup paperSize="187" orientation="portrait" horizontalDpi="203" verticalDpi="203" r:id="rId1"/>
  <ignoredErrors>
    <ignoredError sqref="D2:E2 C1:I1 I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5.6" x14ac:dyDescent="0.3"/>
  <cols>
    <col min="1" max="1" width="92.796875" customWidth="1"/>
  </cols>
  <sheetData>
    <row r="1" spans="1:1" x14ac:dyDescent="0.3">
      <c r="A1" t="s">
        <v>18</v>
      </c>
    </row>
    <row r="2" spans="1:1" x14ac:dyDescent="0.3">
      <c r="A2" t="s">
        <v>13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13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31</v>
      </c>
    </row>
  </sheetData>
  <pageMargins left="0.7" right="0.7" top="0.75" bottom="0.75" header="0.3" footer="0.3"/>
  <ignoredErrors>
    <ignoredError sqref="A1:A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F8FE-6454-46AC-8F99-138F52168846}">
  <dimension ref="A1"/>
  <sheetViews>
    <sheetView workbookViewId="0">
      <selection activeCell="L14" sqref="L14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SanPham</vt:lpstr>
      <vt:lpstr>BienThe</vt:lpstr>
      <vt:lpstr>HuongDan</vt:lpstr>
      <vt:lpstr>Danh 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Quang Tung</cp:lastModifiedBy>
  <dcterms:modified xsi:type="dcterms:W3CDTF">2026-05-13T16:13:02Z</dcterms:modified>
</cp:coreProperties>
</file>